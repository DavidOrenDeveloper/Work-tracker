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480" windowWidth="29040" windowHeight="15720" tabRatio="600" firstSheet="0" activeTab="0" autoFilterDateGrouping="1"/>
  </bookViews>
  <sheets>
    <sheet xmlns:r="http://schemas.openxmlformats.org/officeDocument/2006/relationships" name="מעקב בדיקות" sheetId="1" state="visible" r:id="rId1"/>
    <sheet xmlns:r="http://schemas.openxmlformats.org/officeDocument/2006/relationships" name="רשימה מקורית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\ &quot;ימים&quot;"/>
    <numFmt numFmtId="166" formatCode="dd\\mm\\yyyy"/>
  </numFmts>
  <fonts count="16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1"/>
      <sz val="11"/>
      <scheme val="minor"/>
    </font>
    <font>
      <name val="Arial"/>
      <color theme="1"/>
      <sz val="11"/>
      <scheme val="minor"/>
    </font>
    <font>
      <name val="Arial"/>
      <b val="1"/>
      <color rgb="FFFFFFFF"/>
      <sz val="11"/>
      <scheme val="minor"/>
    </font>
    <font>
      <name val="Arial"/>
      <b val="1"/>
      <color rgb="FFFFFFFF"/>
      <sz val="18"/>
      <scheme val="minor"/>
    </font>
    <font>
      <name val="Arial"/>
      <color rgb="FF404040"/>
      <sz val="11"/>
      <scheme val="minor"/>
    </font>
    <font>
      <name val="Arial"/>
      <color rgb="FF404040"/>
      <sz val="10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16"/>
      <scheme val="minor"/>
    </font>
    <font>
      <name val="Arial"/>
      <b val="1"/>
      <color rgb="FFFFFFFF"/>
      <sz val="17"/>
      <scheme val="minor"/>
    </font>
    <font>
      <name val="Arial"/>
      <b val="1"/>
      <color rgb="FF7F6000"/>
      <sz val="11"/>
      <scheme val="minor"/>
    </font>
    <font>
      <name val="Arial"/>
      <family val="2"/>
      <b val="1"/>
      <color rgb="FF7F6000"/>
      <sz val="11"/>
      <scheme val="minor"/>
    </font>
    <font>
      <name val="Arial"/>
      <i val="1"/>
      <color rgb="FF404040"/>
      <sz val="11"/>
      <scheme val="minor"/>
    </font>
    <font>
      <name val="Arial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59595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F8C8D"/>
      </left>
      <right/>
      <top/>
      <bottom/>
      <diagonal/>
    </border>
    <border>
      <left style="medium">
        <color rgb="FF7F8C8D"/>
      </left>
      <right style="medium">
        <color rgb="FF7F8C8D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2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1" fontId="1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4" fillId="0" borderId="0" pivotButton="0" quotePrefix="0" xfId="0"/>
    <xf numFmtId="49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0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wrapText="1"/>
    </xf>
    <xf numFmtId="0" fontId="11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165" fontId="4" fillId="0" borderId="0" applyAlignment="1" pivotButton="0" quotePrefix="0" xfId="0">
      <alignment horizontal="right"/>
    </xf>
    <xf numFmtId="0" fontId="4" fillId="9" borderId="0" applyAlignment="1" pivotButton="0" quotePrefix="0" xfId="0">
      <alignment horizontal="right" wrapText="1"/>
    </xf>
    <xf numFmtId="0" fontId="5" fillId="5" borderId="0" applyAlignment="1" pivotButton="0" quotePrefix="0" xfId="0">
      <alignment horizontal="right"/>
    </xf>
    <xf numFmtId="0" fontId="5" fillId="11" borderId="3" applyAlignment="1" pivotButton="0" quotePrefix="0" xfId="0">
      <alignment horizontal="right"/>
    </xf>
    <xf numFmtId="166" fontId="12" fillId="10" borderId="3" applyAlignment="1" pivotButton="0" quotePrefix="0" xfId="0">
      <alignment horizontal="right"/>
    </xf>
    <xf numFmtId="166" fontId="13" fillId="10" borderId="3" applyAlignment="1" pivotButton="0" quotePrefix="0" xfId="0">
      <alignment horizontal="right"/>
    </xf>
    <xf numFmtId="166" fontId="12" fillId="10" borderId="4" applyAlignment="1" pivotButton="0" quotePrefix="0" xfId="0">
      <alignment horizontal="right"/>
    </xf>
    <xf numFmtId="0" fontId="5" fillId="12" borderId="4" applyAlignment="1" pivotButton="0" quotePrefix="0" xfId="0">
      <alignment horizontal="right"/>
    </xf>
    <xf numFmtId="166" fontId="7" fillId="8" borderId="4" applyAlignment="1" pivotButton="0" quotePrefix="0" xfId="0">
      <alignment horizontal="right"/>
    </xf>
    <xf numFmtId="0" fontId="12" fillId="10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right" wrapText="1"/>
    </xf>
    <xf numFmtId="0" fontId="8" fillId="6" borderId="0" applyAlignment="1" pivotButton="0" quotePrefix="0" xfId="0">
      <alignment horizontal="center" wrapText="1"/>
    </xf>
    <xf numFmtId="0" fontId="4" fillId="0" borderId="5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4" fillId="0" borderId="5" applyAlignment="1" pivotButton="0" quotePrefix="0" xfId="0">
      <alignment horizontal="right" wrapText="1"/>
    </xf>
  </cellXfs>
  <cellStyles count="1">
    <cellStyle name="Normal" xfId="0" builtinId="0"/>
  </cellStyles>
  <dxfs count="25">
    <dxf>
      <font>
        <b val="1"/>
        <color rgb="FF9C0006"/>
      </font>
      <fill>
        <patternFill patternType="solid">
          <fgColor indexed="64"/>
          <bgColor rgb="FFF4CCCC"/>
        </patternFill>
      </fill>
    </dxf>
    <dxf>
      <font>
        <b val="1"/>
        <color rgb="FF666666"/>
      </font>
      <fill>
        <patternFill patternType="solid">
          <fgColor indexed="64"/>
          <bgColor rgb="FFE7E6E6"/>
        </patternFill>
      </fill>
    </dxf>
    <dxf>
      <font>
        <b val="1"/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9C5700"/>
      </font>
      <fill>
        <patternFill patternType="solid">
          <fgColor indexed="64"/>
          <bgColor rgb="FFFCE5CD"/>
        </patternFill>
      </fill>
    </dxf>
    <dxf>
      <font>
        <b val="1"/>
        <color rgb="FF9C0006"/>
      </font>
      <fill>
        <patternFill patternType="solid">
          <fgColor indexed="64"/>
          <bgColor rgb="FFF4CCCC"/>
        </patternFill>
      </fill>
    </dxf>
    <dxf>
      <font>
        <name val="Arial"/>
        <color rgb="FF404040"/>
      </font>
      <numFmt numFmtId="164" formatCode="dd/mm/yyyy"/>
      <fill>
        <patternFill patternType="solid">
          <fgColor indexed="64"/>
          <bgColor rgb="FFE7E6E6"/>
        </patternFill>
      </fill>
      <alignment horizontal="right"/>
      <border>
        <left style="medium">
          <color rgb="FF7F8C8D"/>
        </left>
        <right style="medium">
          <color rgb="FF7F8C8D"/>
        </right>
        <top/>
        <bottom/>
        <vertical/>
        <horizontal/>
      </border>
    </dxf>
    <dxf>
      <font>
        <name val="Arial"/>
        <b val="1"/>
        <color rgb="FF7F6000"/>
      </font>
      <fill>
        <patternFill patternType="solid">
          <fgColor indexed="64"/>
          <bgColor rgb="FFFFF2CC"/>
        </patternFill>
      </fill>
      <alignment horizontal="right"/>
      <border>
        <left style="medium">
          <color rgb="FF7F8C8D"/>
        </left>
        <right style="medium">
          <color rgb="FF7F8C8D"/>
        </right>
        <top/>
        <bottom/>
        <vertical/>
        <horizontal/>
      </border>
    </dxf>
    <dxf>
      <font>
        <name val="Arial"/>
      </font>
      <fill>
        <patternFill patternType="solid">
          <fgColor indexed="64"/>
          <bgColor rgb="FFFFFFFF"/>
        </patternFill>
      </fill>
      <alignment horizontal="right" wrapText="1"/>
    </dxf>
    <dxf>
      <font>
        <name val="Arial"/>
      </font>
      <alignment wrapText="1"/>
    </dxf>
    <dxf>
      <font>
        <name val="Arial"/>
      </font>
      <alignment wrapText="1"/>
    </dxf>
    <dxf>
      <font>
        <name val="Arial"/>
      </font>
      <alignment wrapText="1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1" formatCode="0"/>
    </dxf>
    <dxf>
      <font>
        <name val="Arial"/>
      </font>
      <alignment horizontal="right" wrapText="1"/>
    </dxf>
    <dxf>
      <font>
        <name val="Arial"/>
      </font>
      <alignment horizontal="right" wrapText="1"/>
    </dxf>
    <dxf>
      <font>
        <name val="Arial"/>
      </font>
      <alignment horizontal="right"/>
    </dxf>
    <dxf>
      <font>
        <name val="Arial"/>
      </font>
      <alignment horizontal="right"/>
    </dxf>
    <dxf>
      <font>
        <name val="Arial"/>
      </font>
      <alignment horizontal="right"/>
    </dxf>
    <dxf>
      <font>
        <name val="Arial"/>
      </font>
      <alignment horizontal="right"/>
    </dxf>
    <dxf>
      <font>
        <name val="Arial"/>
      </font>
      <alignment horizontal="right"/>
    </dxf>
    <dxf>
      <font>
        <name val="Arial"/>
      </font>
      <alignment horizontal="right"/>
    </dxf>
    <dxf>
      <font>
        <name val="Arial"/>
      </font>
      <alignment horizontal="right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טבלת_מעקב_לוחות" displayName="טבלת_מעקב_לוחות" ref="A7:J56" headerRowCount="1" totalsRowShown="0" headerRowDxfId="19" dataDxfId="18">
  <autoFilter ref="A7:J56"/>
  <tableColumns count="10">
    <tableColumn id="1" name="מספר לוח" dataDxfId="24"/>
    <tableColumn id="2" name="תיאור ומיקום" dataDxfId="7"/>
    <tableColumn id="3" name="תאריך בדיקה אחרונה (הזנה)" dataDxfId="6"/>
    <tableColumn id="4" name="בדיקה הבאה (אוטומטי)" dataDxfId="5">
      <calculatedColumnFormula>IF(OR(A8="",C8=""),"",IFERROR(EDATE(IF(ISNUMBER(C8),C8,DATE(VALUE(RIGHT(C8,4)),VALUE(MID(C8,4,2)),VALUE(LEFT(C8,2)))),12),""))</calculatedColumnFormula>
    </tableColumn>
    <tableColumn id="5" name="ימים שנותרו מהיום" dataDxfId="23">
      <calculatedColumnFormula>IF(OR(A8="",D8=""),"",D8-TODAY())</calculatedColumnFormula>
    </tableColumn>
    <tableColumn id="6" name="סטטוס" dataDxfId="22">
      <calculatedColumnFormula>IF(A8="","",IF(C8="","חסר תאריך",IF(D8="","תאריך לא תקין",IF(D8&lt;TODAY(),"פג תוקף",IF(D8&lt;=TODAY()+30,"נדרש תיאום","בתוקף")))))</calculatedColumnFormula>
    </tableColumn>
    <tableColumn id="7" name="בודק מוסמך" dataDxfId="21"/>
    <tableColumn id="8" name="אישור" dataDxfId="20"/>
    <tableColumn id="9" name="אסמכתא / שם קובץ PDF" dataDxfId="17"/>
    <tableColumn id="10" name="הערות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rightToLeft="1" tabSelected="1" zoomScale="85" zoomScaleNormal="85" workbookViewId="0">
      <pane ySplit="7" topLeftCell="A9" activePane="bottomLeft" state="frozen"/>
      <selection pane="bottomLeft" activeCell="I17" sqref="I17"/>
    </sheetView>
  </sheetViews>
  <sheetFormatPr baseColWidth="8" defaultRowHeight="13.8"/>
  <cols>
    <col width="11.296875" customWidth="1" min="1" max="1"/>
    <col width="43.296875" customWidth="1" min="2" max="2"/>
    <col width="17.5" customWidth="1" min="3" max="4"/>
    <col width="13" customWidth="1" min="5" max="5"/>
    <col width="15.796875" customWidth="1" min="6" max="6"/>
    <col width="17.5" bestFit="1" customWidth="1" min="7" max="7"/>
    <col width="12" bestFit="1" customWidth="1" min="8" max="8"/>
    <col width="25.796875" bestFit="1" customWidth="1" min="9" max="9"/>
    <col width="28.296875" bestFit="1" customWidth="1" min="10" max="10"/>
  </cols>
  <sheetData>
    <row r="1" ht="31.95" customHeight="1">
      <c r="A1" s="22" t="inlineStr">
        <is>
          <t>מעקב בדיקות לוחות | עד 120 נס ציונה</t>
        </is>
      </c>
    </row>
    <row r="2" ht="36" customHeight="1">
      <c r="A2" s="41" t="inlineStr">
        <is>
          <t>להוספה בסוף: הקלידו בשורה הלבנה שמתחת לטבלה. להוספה באמצע או בתחילה: לחצן ימני בשורה הרצויה &gt; הוסף &gt; שורות טבלה מעל. הנוסחאות והעיצוב מתמלאים אוטומטית.</t>
        </is>
      </c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</row>
    <row r="4" ht="24" customHeight="1">
      <c r="A4" s="23" t="inlineStr">
        <is>
          <t>סה״כ לוחות</t>
        </is>
      </c>
      <c r="C4" s="23" t="inlineStr">
        <is>
          <t>פג תוקף</t>
        </is>
      </c>
      <c r="E4" s="23" t="inlineStr">
        <is>
          <t>נדרש תיאום (30 יום)</t>
        </is>
      </c>
      <c r="G4" s="23" t="inlineStr">
        <is>
          <t>בתוקף</t>
        </is>
      </c>
      <c r="I4" s="23" t="inlineStr">
        <is>
          <t>חסר תאריך הבא</t>
        </is>
      </c>
    </row>
    <row r="5" ht="24" customHeight="1">
      <c r="A5" s="24">
        <f>COUNTA(טבלת_מעקב_לוחות[מספר לוח])</f>
        <v/>
      </c>
      <c r="C5" s="24">
        <f>COUNTIF(טבלת_מעקב_לוחות[סטטוס],"פג תוקף")</f>
        <v/>
      </c>
      <c r="E5" s="24">
        <f>COUNTIF(טבלת_מעקב_לוחות[סטטוס],"נדרש תיאום")</f>
        <v/>
      </c>
      <c r="G5" s="24">
        <f>COUNTIF(טבלת_מעקב_לוחות[סטטוס],"בתוקף")</f>
        <v/>
      </c>
      <c r="I5" s="24">
        <f>COUNTIF(טבלת_מעקב_לוחות[סטטוס],"חסר תאריך")</f>
        <v/>
      </c>
    </row>
    <row r="6" ht="14.4" customHeight="1">
      <c r="A6" s="19" t="n"/>
      <c r="B6" s="19" t="n"/>
      <c r="C6" s="38" t="inlineStr">
        <is>
          <t>▼ מזינים כאן</t>
        </is>
      </c>
      <c r="D6" s="39" t="inlineStr">
        <is>
          <t>מתעדכן אוטומטית</t>
        </is>
      </c>
      <c r="E6" s="19" t="n"/>
      <c r="F6" s="19" t="n"/>
      <c r="G6" s="19" t="n"/>
      <c r="H6" s="19" t="n"/>
      <c r="I6" s="19" t="n"/>
      <c r="J6" s="19" t="n"/>
    </row>
    <row r="7" ht="28.05" customHeight="1">
      <c r="A7" s="19" t="inlineStr">
        <is>
          <t>מספר לוח</t>
        </is>
      </c>
      <c r="B7" s="31" t="inlineStr">
        <is>
          <t>תיאור ומיקום</t>
        </is>
      </c>
      <c r="C7" s="32" t="inlineStr">
        <is>
          <t>תאריך בדיקה אחרונה (הזנה)</t>
        </is>
      </c>
      <c r="D7" s="36" t="inlineStr">
        <is>
          <t>בדיקה הבאה (אוטומטי)</t>
        </is>
      </c>
      <c r="E7" s="19" t="inlineStr">
        <is>
          <t>ימים שנותרו מהיום</t>
        </is>
      </c>
      <c r="F7" s="19" t="inlineStr">
        <is>
          <t>סטטוס</t>
        </is>
      </c>
      <c r="G7" s="42" t="inlineStr">
        <is>
          <t>בודק מוסמך</t>
        </is>
      </c>
      <c r="H7" s="42" t="inlineStr">
        <is>
          <t>אישור</t>
        </is>
      </c>
      <c r="I7" s="42" t="inlineStr">
        <is>
          <t>אסמכתא / שם קובץ PDF</t>
        </is>
      </c>
      <c r="J7" s="42" t="inlineStr">
        <is>
          <t>הערות</t>
        </is>
      </c>
    </row>
    <row r="8" ht="25.95" customHeight="1">
      <c r="A8" s="20" t="inlineStr">
        <is>
          <t>01</t>
        </is>
      </c>
      <c r="B8" s="30" t="inlineStr">
        <is>
          <t>עמדת עבודה על המשרד של שמעון</t>
        </is>
      </c>
      <c r="C8" s="34" t="inlineStr">
        <is>
          <t>05\01\2026</t>
        </is>
      </c>
      <c r="D8" s="37">
        <f>IF(OR(A8="",C8=""),"",IFERROR(EDATE(IF(ISNUMBER(C8),C8,DATE(VALUE(RIGHT(C8,4)),VALUE(MID(C8,4,2)),VALUE(LEFT(C8,2)))),12),""))</f>
        <v/>
      </c>
      <c r="E8" s="43">
        <f>IF(OR(A8="",D8=""),"",D8-TODAY())</f>
        <v/>
      </c>
      <c r="F8" s="19">
        <f>IF(A8="","",IF(C8="","חסר תאריך",IF(D8="","תאריך לא תקין",IF(D8&lt;TODAY(),"פג תוקף",IF(D8&lt;=TODAY()+30,"נדרש תיאום","בתוקף")))))</f>
        <v/>
      </c>
      <c r="G8" s="42" t="n"/>
      <c r="H8" s="42" t="inlineStr">
        <is>
          <t>ממתין</t>
        </is>
      </c>
      <c r="I8" s="44" t="n"/>
      <c r="J8" s="44" t="n"/>
    </row>
    <row r="9" ht="25.95" customHeight="1">
      <c r="A9" s="21" t="n">
        <v>1</v>
      </c>
      <c r="B9" s="30" t="inlineStr">
        <is>
          <t>לוח עגורן מספר 1 + עמדת עבודה לצידו</t>
        </is>
      </c>
      <c r="C9" s="34" t="inlineStr">
        <is>
          <t>05\03\2026</t>
        </is>
      </c>
      <c r="D9" s="37">
        <f>IF(OR(A9="",C9=""),"",IFERROR(EDATE(IF(ISNUMBER(C9),C9,DATE(VALUE(RIGHT(C9,4)),VALUE(MID(C9,4,2)),VALUE(LEFT(C9,2)))),12),""))</f>
        <v/>
      </c>
      <c r="E9" s="43">
        <f>IF(OR(A9="",D9=""),"",D9-TODAY())</f>
        <v/>
      </c>
      <c r="F9" s="19">
        <f>IF(A9="","",IF(C9="","חסר תאריך",IF(D9="","תאריך לא תקין",IF(D9&lt;TODAY(),"פג תוקף",IF(D9&lt;=TODAY()+30,"נדרש תיאום","בתוקף")))))</f>
        <v/>
      </c>
      <c r="G9" s="42" t="n"/>
      <c r="H9" s="42" t="inlineStr">
        <is>
          <t>ממתין</t>
        </is>
      </c>
      <c r="I9" s="44" t="n"/>
      <c r="J9" s="44" t="n"/>
    </row>
    <row r="10" ht="25.95" customHeight="1">
      <c r="A10" s="21" t="n">
        <v>2</v>
      </c>
      <c r="B10" s="30" t="inlineStr">
        <is>
          <t>לוח עגורן מספר 2 + עמדת עבודה לצידו</t>
        </is>
      </c>
      <c r="C10" s="34" t="inlineStr">
        <is>
          <t>05\03\2026</t>
        </is>
      </c>
      <c r="D10" s="37">
        <f>IF(OR(A10="",C10=""),"",IFERROR(EDATE(IF(ISNUMBER(C10),C10,DATE(VALUE(RIGHT(C10,4)),VALUE(MID(C10,4,2)),VALUE(LEFT(C10,2)))),12),""))</f>
        <v/>
      </c>
      <c r="E10" s="43">
        <f>IF(OR(A10="",D10=""),"",D10-TODAY())</f>
        <v/>
      </c>
      <c r="F10" s="19">
        <f>IF(A10="","",IF(C10="","חסר תאריך",IF(D10="","תאריך לא תקין",IF(D10&lt;TODAY(),"פג תוקף",IF(D10&lt;=TODAY()+30,"נדרש תיאום","בתוקף")))))</f>
        <v/>
      </c>
      <c r="G10" s="42" t="n"/>
      <c r="H10" s="42" t="inlineStr">
        <is>
          <t>ממתין</t>
        </is>
      </c>
      <c r="I10" s="44" t="n"/>
      <c r="J10" s="44" t="n"/>
    </row>
    <row r="11" ht="25.95" customHeight="1">
      <c r="A11" s="21" t="n">
        <v>3</v>
      </c>
      <c r="B11" s="30" t="inlineStr">
        <is>
          <t>לוח עגורן מספר 3 + עמדת עבודה לצידו</t>
        </is>
      </c>
      <c r="C11" s="34" t="inlineStr">
        <is>
          <t>05\03\2026</t>
        </is>
      </c>
      <c r="D11" s="37">
        <f>IF(OR(A11="",C11=""),"",IFERROR(EDATE(IF(ISNUMBER(C11),C11,DATE(VALUE(RIGHT(C11,4)),VALUE(MID(C11,4,2)),VALUE(LEFT(C11,2)))),12),""))</f>
        <v/>
      </c>
      <c r="E11" s="43">
        <f>IF(OR(A11="",D11=""),"",D11-TODAY())</f>
        <v/>
      </c>
      <c r="F11" s="19">
        <f>IF(A11="","",IF(C11="","חסר תאריך",IF(D11="","תאריך לא תקין",IF(D11&lt;TODAY(),"פג תוקף",IF(D11&lt;=TODAY()+30,"נדרש תיאום","בתוקף")))))</f>
        <v/>
      </c>
      <c r="G11" s="42" t="n"/>
      <c r="H11" s="42" t="inlineStr">
        <is>
          <t>ממתין</t>
        </is>
      </c>
      <c r="I11" s="44" t="n"/>
      <c r="J11" s="44" t="n"/>
    </row>
    <row r="12" ht="25.95" customHeight="1">
      <c r="A12" s="21" t="n">
        <v>4</v>
      </c>
      <c r="B12" s="30" t="inlineStr">
        <is>
          <t>לוח עגורן מספר 4 + עמדת עבודה לצידו</t>
        </is>
      </c>
      <c r="C12" s="34" t="inlineStr">
        <is>
          <t>05\03\2026</t>
        </is>
      </c>
      <c r="D12" s="37">
        <f>IF(OR(A12="",C12=""),"",IFERROR(EDATE(IF(ISNUMBER(C12),C12,DATE(VALUE(RIGHT(C12,4)),VALUE(MID(C12,4,2)),VALUE(LEFT(C12,2)))),12),""))</f>
        <v/>
      </c>
      <c r="E12" s="43">
        <f>IF(OR(A12="",D12=""),"",D12-TODAY())</f>
        <v/>
      </c>
      <c r="F12" s="19">
        <f>IF(A12="","",IF(C12="","חסר תאריך",IF(D12="","תאריך לא תקין",IF(D12&lt;TODAY(),"פג תוקף",IF(D12&lt;=TODAY()+30,"נדרש תיאום","בתוקף")))))</f>
        <v/>
      </c>
      <c r="G12" s="42" t="n"/>
      <c r="H12" s="42" t="inlineStr">
        <is>
          <t>ממתין</t>
        </is>
      </c>
      <c r="I12" s="44" t="n"/>
      <c r="J12" s="44" t="n"/>
    </row>
    <row r="13" ht="25.95" customHeight="1">
      <c r="A13" s="21" t="n">
        <v>5</v>
      </c>
      <c r="B13" s="30" t="inlineStr">
        <is>
          <t>לוח עגורן מספר 5 + עמדת עבודה לצידו</t>
        </is>
      </c>
      <c r="C13" s="34" t="inlineStr">
        <is>
          <t>05\03\2026</t>
        </is>
      </c>
      <c r="D13" s="37">
        <f>IF(OR(A13="",C13=""),"",IFERROR(EDATE(IF(ISNUMBER(C13),C13,DATE(VALUE(RIGHT(C13,4)),VALUE(MID(C13,4,2)),VALUE(LEFT(C13,2)))),12),""))</f>
        <v/>
      </c>
      <c r="E13" s="43">
        <f>IF(OR(A13="",D13=""),"",D13-TODAY())</f>
        <v/>
      </c>
      <c r="F13" s="19">
        <f>IF(A13="","",IF(C13="","חסר תאריך",IF(D13="","תאריך לא תקין",IF(D13&lt;TODAY(),"פג תוקף",IF(D13&lt;=TODAY()+30,"נדרש תיאום","בתוקף")))))</f>
        <v/>
      </c>
      <c r="G13" s="42" t="n"/>
      <c r="H13" s="42" t="inlineStr">
        <is>
          <t>ממתין</t>
        </is>
      </c>
      <c r="I13" s="44" t="n"/>
      <c r="J13" s="44" t="n"/>
    </row>
    <row r="14" ht="25.95" customHeight="1">
      <c r="A14" s="21" t="n">
        <v>6</v>
      </c>
      <c r="B14" s="30" t="inlineStr">
        <is>
          <t>לוח שער/מחסום, מחסנים ומכולות משרד קבלנים</t>
        </is>
      </c>
      <c r="C14" s="33" t="n"/>
      <c r="D14" s="37">
        <f>IF(OR(A14="",C14=""),"",IFERROR(EDATE(IF(ISNUMBER(C14),C14,DATE(VALUE(RIGHT(C14,4)),VALUE(MID(C14,4,2)),VALUE(LEFT(C14,2)))),12),""))</f>
        <v/>
      </c>
      <c r="E14" s="43">
        <f>IF(OR(A14="",D14=""),"",D14-TODAY())</f>
        <v/>
      </c>
      <c r="F14" s="19">
        <f>IF(A14="","",IF(C14="","חסר תאריך",IF(D14="","תאריך לא תקין",IF(D14&lt;TODAY(),"פג תוקף",IF(D14&lt;=TODAY()+30,"נדרש תיאום","בתוקף")))))</f>
        <v/>
      </c>
      <c r="G14" s="42" t="n"/>
      <c r="H14" s="42" t="inlineStr">
        <is>
          <t>ממתין</t>
        </is>
      </c>
      <c r="I14" s="44" t="n"/>
      <c r="J14" s="44" t="n"/>
    </row>
    <row r="15" ht="25.95" customHeight="1">
      <c r="A15" s="21" t="n">
        <v>7</v>
      </c>
      <c r="B15" s="40" t="inlineStr">
        <is>
          <t>פינת ישיבה עובדים מול המחסנים</t>
        </is>
      </c>
      <c r="C15" s="33" t="n"/>
      <c r="D15" s="37">
        <f>IF(OR(A15="",C15=""),"",IFERROR(EDATE(IF(ISNUMBER(C15),C15,DATE(VALUE(RIGHT(C15,4)),VALUE(MID(C15,4,2)),VALUE(LEFT(C15,2)))),12),""))</f>
        <v/>
      </c>
      <c r="E15" s="43">
        <f>IF(OR(A15="",D15=""),"",D15-TODAY())</f>
        <v/>
      </c>
      <c r="F15" s="19">
        <f>IF(A15="","",IF(C15="","חסר תאריך",IF(D15="","תאריך לא תקין",IF(D15&lt;TODAY(),"פג תוקף",IF(D15&lt;=TODAY()+30,"נדרש תיאום","בתוקף")))))</f>
        <v/>
      </c>
      <c r="G15" s="42" t="n"/>
      <c r="H15" s="42" t="inlineStr">
        <is>
          <t>ממתין</t>
        </is>
      </c>
      <c r="I15" s="44" t="n"/>
      <c r="J15" s="44" t="n"/>
    </row>
    <row r="16" ht="25.95" customHeight="1">
      <c r="A16" s="21" t="n">
        <v>8</v>
      </c>
      <c r="B16" s="40" t="inlineStr">
        <is>
          <t>דיור מוגן דרומי בצד מערב (נראה לי טעות וזה ברמפה מינוס 1)</t>
        </is>
      </c>
      <c r="C16" s="33" t="n"/>
      <c r="D16" s="37">
        <f>IF(OR(A16="",C16=""),"",IFERROR(EDATE(IF(ISNUMBER(C16),C16,DATE(VALUE(RIGHT(C16,4)),VALUE(MID(C16,4,2)),VALUE(LEFT(C16,2)))),12),""))</f>
        <v/>
      </c>
      <c r="E16" s="43">
        <f>IF(OR(A16="",D16=""),"",D16-TODAY())</f>
        <v/>
      </c>
      <c r="F16" s="19">
        <f>IF(A16="","",IF(C16="","חסר תאריך",IF(D16="","תאריך לא תקין",IF(D16&lt;TODAY(),"פג תוקף",IF(D16&lt;=TODAY()+30,"נדרש תיאום","בתוקף")))))</f>
        <v/>
      </c>
      <c r="G16" s="42" t="n"/>
      <c r="H16" s="42" t="inlineStr">
        <is>
          <t>ממתין</t>
        </is>
      </c>
      <c r="I16" s="44" t="n"/>
      <c r="J16" s="44" t="inlineStr">
        <is>
          <t>(נראה לי טעות וזה ברמפה מינוס 1)</t>
        </is>
      </c>
    </row>
    <row r="17" ht="25.95" customHeight="1">
      <c r="A17" s="21" t="n">
        <v>9</v>
      </c>
      <c r="B17" s="40" t="inlineStr">
        <is>
          <t>דיור מוגן דרומי מינוס 1 אמצע מישני ראשי</t>
        </is>
      </c>
      <c r="C17" s="33" t="inlineStr">
        <is>
          <t>18\08\2026</t>
        </is>
      </c>
      <c r="D17" s="37">
        <f>IF(OR(A17="",C17=""),"",IFERROR(EDATE(IF(ISNUMBER(C17),C17,DATE(VALUE(RIGHT(C17,4)),VALUE(MID(C17,4,2)),VALUE(LEFT(C17,2)))),12),""))</f>
        <v/>
      </c>
      <c r="E17" s="43">
        <f>IF(OR(A17="",D17=""),"",D17-TODAY())</f>
        <v/>
      </c>
      <c r="F17" s="19">
        <f>IF(A17="","",IF(C17="","חסר תאריך",IF(D17="","תאריך לא תקין",IF(D17&lt;TODAY(),"פג תוקף",IF(D17&lt;=TODAY()+30,"נדרש תיאום","בתוקף")))))</f>
        <v/>
      </c>
      <c r="G17" s="42" t="n"/>
      <c r="H17" s="42" t="inlineStr">
        <is>
          <t>ממתין</t>
        </is>
      </c>
      <c r="I17" s="44" t="n"/>
      <c r="J17" s="44" t="n"/>
    </row>
    <row r="18" ht="25.95" customHeight="1">
      <c r="A18" s="21" t="n">
        <v>10</v>
      </c>
      <c r="B18" s="30" t="inlineStr">
        <is>
          <t>דיור מוגן דרומי מינוס 1 קרוב לבריכה</t>
        </is>
      </c>
      <c r="C18" s="34" t="inlineStr">
        <is>
          <t>05\03\2026</t>
        </is>
      </c>
      <c r="D18" s="37">
        <f>IF(OR(A18="",C18=""),"",IFERROR(EDATE(IF(ISNUMBER(C18),C18,DATE(VALUE(RIGHT(C18,4)),VALUE(MID(C18,4,2)),VALUE(LEFT(C18,2)))),12),""))</f>
        <v/>
      </c>
      <c r="E18" s="43">
        <f>IF(OR(A18="",D18=""),"",D18-TODAY())</f>
        <v/>
      </c>
      <c r="F18" s="19">
        <f>IF(A18="","",IF(C18="","חסר תאריך",IF(D18="","תאריך לא תקין",IF(D18&lt;TODAY(),"פג תוקף",IF(D18&lt;=TODAY()+30,"נדרש תיאום","בתוקף")))))</f>
        <v/>
      </c>
      <c r="G18" s="42" t="n"/>
      <c r="H18" s="42" t="inlineStr">
        <is>
          <t>ממתין</t>
        </is>
      </c>
      <c r="I18" s="44" t="n"/>
      <c r="J18" s="44" t="n"/>
    </row>
    <row r="19" ht="25.95" customHeight="1">
      <c r="A19" s="21" t="n">
        <v>11</v>
      </c>
      <c r="B19" s="30" t="inlineStr">
        <is>
          <t>סיעודי מינוס 2 דרום</t>
        </is>
      </c>
      <c r="C19" s="34" t="inlineStr">
        <is>
          <t>05\03\2026</t>
        </is>
      </c>
      <c r="D19" s="37">
        <f>IF(OR(A19="",C19=""),"",IFERROR(EDATE(IF(ISNUMBER(C19),C19,DATE(VALUE(RIGHT(C19,4)),VALUE(MID(C19,4,2)),VALUE(LEFT(C19,2)))),12),""))</f>
        <v/>
      </c>
      <c r="E19" s="43">
        <f>IF(OR(A19="",D19=""),"",D19-TODAY())</f>
        <v/>
      </c>
      <c r="F19" s="19">
        <f>IF(A19="","",IF(C19="","חסר תאריך",IF(D19="","תאריך לא תקין",IF(D19&lt;TODAY(),"פג תוקף",IF(D19&lt;=TODAY()+30,"נדרש תיאום","בתוקף")))))</f>
        <v/>
      </c>
      <c r="G19" s="42" t="n"/>
      <c r="H19" s="42" t="inlineStr">
        <is>
          <t>ממתין</t>
        </is>
      </c>
      <c r="I19" s="44" t="n"/>
      <c r="J19" s="44" t="n"/>
    </row>
    <row r="20" ht="25.95" customHeight="1">
      <c r="A20" s="21" t="n">
        <v>12</v>
      </c>
      <c r="B20" s="30" t="inlineStr">
        <is>
          <t>סיעודי מינוס 2 צפון</t>
        </is>
      </c>
      <c r="C20" s="34" t="inlineStr">
        <is>
          <t>05\03\2026</t>
        </is>
      </c>
      <c r="D20" s="37">
        <f>IF(OR(A20="",C20=""),"",IFERROR(EDATE(IF(ISNUMBER(C20),C20,DATE(VALUE(RIGHT(C20,4)),VALUE(MID(C20,4,2)),VALUE(LEFT(C20,2)))),12),""))</f>
        <v/>
      </c>
      <c r="E20" s="43">
        <f>IF(OR(A20="",D20=""),"",D20-TODAY())</f>
        <v/>
      </c>
      <c r="F20" s="19">
        <f>IF(A20="","",IF(C20="","חסר תאריך",IF(D20="","תאריך לא תקין",IF(D20&lt;TODAY(),"פג תוקף",IF(D20&lt;=TODAY()+30,"נדרש תיאום","בתוקף")))))</f>
        <v/>
      </c>
      <c r="G20" s="42" t="n"/>
      <c r="H20" s="42" t="inlineStr">
        <is>
          <t>ממתין</t>
        </is>
      </c>
      <c r="I20" s="44" t="n"/>
      <c r="J20" s="44" t="n"/>
    </row>
    <row r="21" ht="25.95" customHeight="1">
      <c r="A21" s="21" t="n">
        <v>13</v>
      </c>
      <c r="B21" s="40" t="inlineStr">
        <is>
          <t>עמדת עבודה נוספת בין המחסנים למכולות משרד</t>
        </is>
      </c>
      <c r="C21" s="34" t="inlineStr">
        <is>
          <t>05\03\2026</t>
        </is>
      </c>
      <c r="D21" s="37">
        <f>IF(OR(A21="",C21=""),"",IFERROR(EDATE(IF(ISNUMBER(C21),C21,DATE(VALUE(RIGHT(C21,4)),VALUE(MID(C21,4,2)),VALUE(LEFT(C21,2)))),12),""))</f>
        <v/>
      </c>
      <c r="E21" s="43">
        <f>IF(OR(A21="",D21=""),"",D21-TODAY())</f>
        <v/>
      </c>
      <c r="F21" s="19">
        <f>IF(A21="","",IF(C21="","חסר תאריך",IF(D21="","תאריך לא תקין",IF(D21&lt;TODAY(),"פג תוקף",IF(D21&lt;=TODAY()+30,"נדרש תיאום","בתוקף")))))</f>
        <v/>
      </c>
      <c r="G21" s="42" t="n"/>
      <c r="H21" s="42" t="inlineStr">
        <is>
          <t>ממתין</t>
        </is>
      </c>
      <c r="I21" s="44" t="n"/>
      <c r="J21" s="44" t="n"/>
    </row>
    <row r="22" ht="25.95" customHeight="1">
      <c r="A22" s="21" t="n">
        <v>14</v>
      </c>
      <c r="B22" s="30" t="inlineStr">
        <is>
          <t>טיגארט כניסה מערבית</t>
        </is>
      </c>
      <c r="C22" s="34" t="inlineStr">
        <is>
          <t>15\06\2026</t>
        </is>
      </c>
      <c r="D22" s="37">
        <f>IF(OR(A22="",C22=""),"",IFERROR(EDATE(IF(ISNUMBER(C22),C22,DATE(VALUE(RIGHT(C22,4)),VALUE(MID(C22,4,2)),VALUE(LEFT(C22,2)))),12),""))</f>
        <v/>
      </c>
      <c r="E22" s="43">
        <f>IF(OR(A22="",D22=""),"",D22-TODAY())</f>
        <v/>
      </c>
      <c r="F22" s="19">
        <f>IF(A22="","",IF(C22="","חסר תאריך",IF(D22="","תאריך לא תקין",IF(D22&lt;TODAY(),"פג תוקף",IF(D22&lt;=TODAY()+30,"נדרש תיאום","בתוקף")))))</f>
        <v/>
      </c>
      <c r="G22" s="42" t="n"/>
      <c r="H22" s="42" t="inlineStr">
        <is>
          <t>ממתין</t>
        </is>
      </c>
      <c r="I22" s="44" t="n"/>
      <c r="J22" s="44" t="n"/>
    </row>
    <row r="23" ht="25.95" customHeight="1">
      <c r="A23" s="21" t="n">
        <v>15</v>
      </c>
      <c r="B23" s="30" t="inlineStr">
        <is>
          <t>דרומי מינוס 1 מערבי מוזן ממנוף 1</t>
        </is>
      </c>
      <c r="C23" s="34" t="inlineStr">
        <is>
          <t>15\06\2026</t>
        </is>
      </c>
      <c r="D23" s="37">
        <f>IF(OR(A23="",C23=""),"",IFERROR(EDATE(IF(ISNUMBER(C23),C23,DATE(VALUE(RIGHT(C23,4)),VALUE(MID(C23,4,2)),VALUE(LEFT(C23,2)))),12),""))</f>
        <v/>
      </c>
      <c r="E23" s="43">
        <f>IF(OR(A23="",D23=""),"",D23-TODAY())</f>
        <v/>
      </c>
      <c r="F23" s="19">
        <f>IF(A23="","",IF(C23="","חסר תאריך",IF(D23="","תאריך לא תקין",IF(D23&lt;TODAY(),"פג תוקף",IF(D23&lt;=TODAY()+30,"נדרש תיאום","בתוקף")))))</f>
        <v/>
      </c>
      <c r="G23" s="42" t="n"/>
      <c r="H23" s="42" t="inlineStr">
        <is>
          <t>ממתין</t>
        </is>
      </c>
      <c r="I23" s="44" t="n"/>
      <c r="J23" s="44" t="n"/>
    </row>
    <row r="24" ht="25.95" customHeight="1">
      <c r="A24" s="21" t="n">
        <v>16</v>
      </c>
      <c r="B24" s="30" t="inlineStr">
        <is>
          <t>טיגארט דרום</t>
        </is>
      </c>
      <c r="C24" s="33" t="inlineStr">
        <is>
          <t>18\08\2026</t>
        </is>
      </c>
      <c r="D24" s="37">
        <f>IF(OR(A24="",C24=""),"",IFERROR(EDATE(IF(ISNUMBER(C24),C24,DATE(VALUE(RIGHT(C24,4)),VALUE(MID(C24,4,2)),VALUE(LEFT(C24,2)))),12),""))</f>
        <v/>
      </c>
      <c r="E24" s="43">
        <f>IF(OR(A24="",D24=""),"",D24-TODAY())</f>
        <v/>
      </c>
      <c r="F24" s="19">
        <f>IF(A24="","",IF(C24="","חסר תאריך",IF(D24="","תאריך לא תקין",IF(D24&lt;TODAY(),"פג תוקף",IF(D24&lt;=TODAY()+30,"נדרש תיאום","בתוקף")))))</f>
        <v/>
      </c>
      <c r="G24" s="42" t="n"/>
      <c r="H24" s="42" t="inlineStr">
        <is>
          <t>ממתין</t>
        </is>
      </c>
      <c r="I24" s="44" t="n"/>
      <c r="J24" s="44" t="n"/>
    </row>
    <row r="25" ht="25.95" customHeight="1">
      <c r="A25" s="21" t="n">
        <v>17</v>
      </c>
      <c r="B25" s="30" t="inlineStr">
        <is>
          <t>טיגארט צפון</t>
        </is>
      </c>
      <c r="C25" s="34" t="inlineStr">
        <is>
          <t>05\07\2026</t>
        </is>
      </c>
      <c r="D25" s="37">
        <f>IF(OR(A25="",C25=""),"",IFERROR(EDATE(IF(ISNUMBER(C25),C25,DATE(VALUE(RIGHT(C25,4)),VALUE(MID(C25,4,2)),VALUE(LEFT(C25,2)))),12),""))</f>
        <v/>
      </c>
      <c r="E25" s="43">
        <f>IF(OR(A25="",D25=""),"",D25-TODAY())</f>
        <v/>
      </c>
      <c r="F25" s="19">
        <f>IF(A25="","",IF(C25="","חסר תאריך",IF(D25="","תאריך לא תקין",IF(D25&lt;TODAY(),"פג תוקף",IF(D25&lt;=TODAY()+30,"נדרש תיאום","בתוקף")))))</f>
        <v/>
      </c>
      <c r="G25" s="42" t="n"/>
      <c r="H25" s="42" t="inlineStr">
        <is>
          <t>ממתין</t>
        </is>
      </c>
      <c r="I25" s="44" t="n"/>
      <c r="J25" s="44" t="n"/>
    </row>
    <row r="26" ht="25.95" customHeight="1">
      <c r="A26" s="21" t="n">
        <v>18</v>
      </c>
      <c r="B26" s="30" t="inlineStr">
        <is>
          <t>דרומי קומה A בצד מזרח דרום</t>
        </is>
      </c>
      <c r="C26" s="33" t="inlineStr">
        <is>
          <t>18\08\2026</t>
        </is>
      </c>
      <c r="D26" s="37">
        <f>IF(OR(A26="",C26=""),"",IFERROR(EDATE(IF(ISNUMBER(C26),C26,DATE(VALUE(RIGHT(C26,4)),VALUE(MID(C26,4,2)),VALUE(LEFT(C26,2)))),12),""))</f>
        <v/>
      </c>
      <c r="E26" s="43">
        <f>IF(OR(A26="",D26=""),"",D26-TODAY())</f>
        <v/>
      </c>
      <c r="F26" s="19">
        <f>IF(A26="","",IF(C26="","חסר תאריך",IF(D26="","תאריך לא תקין",IF(D26&lt;TODAY(),"פג תוקף",IF(D26&lt;=TODAY()+30,"נדרש תיאום","בתוקף")))))</f>
        <v/>
      </c>
      <c r="G26" s="42" t="n"/>
      <c r="H26" s="42" t="inlineStr">
        <is>
          <t>ממתין</t>
        </is>
      </c>
      <c r="I26" s="44" t="n"/>
      <c r="J26" s="44" t="n"/>
    </row>
    <row r="27" ht="25.95" customHeight="1">
      <c r="A27" s="21" t="n">
        <v>19</v>
      </c>
      <c r="B27" s="30" t="inlineStr">
        <is>
          <t>מינוס 1 בניין c ממנוף 5</t>
        </is>
      </c>
      <c r="C27" s="33" t="inlineStr">
        <is>
          <t>18\08\2026</t>
        </is>
      </c>
      <c r="D27" s="37">
        <f>IF(OR(A27="",C27=""),"",IFERROR(EDATE(IF(ISNUMBER(C27),C27,DATE(VALUE(RIGHT(C27,4)),VALUE(MID(C27,4,2)),VALUE(LEFT(C27,2)))),12),""))</f>
        <v/>
      </c>
      <c r="E27" s="43">
        <f>IF(OR(A27="",D27=""),"",D27-TODAY())</f>
        <v/>
      </c>
      <c r="F27" s="19">
        <f>IF(A27="","",IF(C27="","חסר תאריך",IF(D27="","תאריך לא תקין",IF(D27&lt;TODAY(),"פג תוקף",IF(D27&lt;=TODAY()+30,"נדרש תיאום","בתוקף")))))</f>
        <v/>
      </c>
      <c r="G27" s="42" t="n"/>
      <c r="H27" s="42" t="inlineStr">
        <is>
          <t>ממתין</t>
        </is>
      </c>
      <c r="I27" s="44" t="n"/>
      <c r="J27" s="44" t="n"/>
    </row>
    <row r="28" ht="25.95" customHeight="1">
      <c r="A28" s="21" t="n">
        <v>20</v>
      </c>
      <c r="B28" s="30" t="inlineStr">
        <is>
          <t>מינוס 1 ברחבה מונח על קיר דיור מוגן בניין צפוני</t>
        </is>
      </c>
      <c r="C28" s="34" t="inlineStr">
        <is>
          <t>18\08\2026</t>
        </is>
      </c>
      <c r="D28" s="37">
        <f>IF(OR(A28="",C28=""),"",IFERROR(EDATE(IF(ISNUMBER(C28),C28,DATE(VALUE(RIGHT(C28,4)),VALUE(MID(C28,4,2)),VALUE(LEFT(C28,2)))),12),""))</f>
        <v/>
      </c>
      <c r="E28" s="43">
        <f>IF(OR(A28="",D28=""),"",D28-TODAY())</f>
        <v/>
      </c>
      <c r="F28" s="19">
        <f>IF(A28="","",IF(C28="","חסר תאריך",IF(D28="","תאריך לא תקין",IF(D28&lt;TODAY(),"פג תוקף",IF(D28&lt;=TODAY()+30,"נדרש תיאום","בתוקף")))))</f>
        <v/>
      </c>
      <c r="G28" s="42" t="n"/>
      <c r="H28" s="42" t="inlineStr">
        <is>
          <t>ממתין</t>
        </is>
      </c>
      <c r="I28" s="44" t="n"/>
      <c r="J28" s="44" t="n"/>
    </row>
    <row r="29" ht="25.95" customHeight="1">
      <c r="A29" s="21" t="n">
        <v>21</v>
      </c>
      <c r="B29" s="40" t="inlineStr">
        <is>
          <t>דיור מוגן בניין צפוני מינוס 1 צד מזרח מישני ראשי</t>
        </is>
      </c>
      <c r="C29" s="33" t="inlineStr">
        <is>
          <t>18\08\2026</t>
        </is>
      </c>
      <c r="D29" s="37">
        <f>IF(OR(A29="",C29=""),"",IFERROR(EDATE(IF(ISNUMBER(C29),C29,DATE(VALUE(RIGHT(C29,4)),VALUE(MID(C29,4,2)),VALUE(LEFT(C29,2)))),12),""))</f>
        <v/>
      </c>
      <c r="E29" s="43">
        <f>IF(OR(A29="",D29=""),"",D29-TODAY())</f>
        <v/>
      </c>
      <c r="F29" s="19">
        <f>IF(A29="","",IF(C29="","חסר תאריך",IF(D29="","תאריך לא תקין",IF(D29&lt;TODAY(),"פג תוקף",IF(D29&lt;=TODAY()+30,"נדרש תיאום","בתוקף")))))</f>
        <v/>
      </c>
      <c r="G29" s="42" t="n"/>
      <c r="H29" s="42" t="inlineStr">
        <is>
          <t>ממתין</t>
        </is>
      </c>
      <c r="I29" s="44" t="n"/>
      <c r="J29" s="44" t="n"/>
    </row>
    <row r="30" ht="25.95" customHeight="1">
      <c r="A30" s="21" t="n">
        <v>22</v>
      </c>
      <c r="B30" s="30" t="inlineStr">
        <is>
          <t>משרדים מינוס 1 בצד מזרח קרוב יותר לקיר דיפון</t>
        </is>
      </c>
      <c r="C30" s="33" t="n">
        <v>46266</v>
      </c>
      <c r="D30" s="37">
        <f>IF(OR(A30="",C30=""),"",IFERROR(EDATE(IF(ISNUMBER(C30),C30,DATE(VALUE(RIGHT(C30,4)),VALUE(MID(C30,4,2)),VALUE(LEFT(C30,2)))),12),""))</f>
        <v/>
      </c>
      <c r="E30" s="43">
        <f>IF(OR(A30="",D30=""),"",D30-TODAY())</f>
        <v/>
      </c>
      <c r="F30" s="19">
        <f>IF(A30="","",IF(C30="","חסר תאריך",IF(D30="","תאריך לא תקין",IF(D30&lt;TODAY(),"פג תוקף",IF(D30&lt;=TODAY()+30,"נדרש תיאום","בתוקף")))))</f>
        <v/>
      </c>
      <c r="G30" s="42" t="n"/>
      <c r="H30" s="42" t="inlineStr">
        <is>
          <t>ממתין</t>
        </is>
      </c>
      <c r="I30" s="44" t="n"/>
      <c r="J30" s="44" t="n"/>
    </row>
    <row r="31" ht="25.95" customHeight="1">
      <c r="A31" s="21" t="n">
        <v>23</v>
      </c>
      <c r="B31" s="40" t="inlineStr">
        <is>
          <t>משרדים מינוס 2 צד צפון מישני ראשי</t>
        </is>
      </c>
      <c r="C31" s="33" t="n">
        <v>46266</v>
      </c>
      <c r="D31" s="37">
        <f>IF(OR(A31="",C31=""),"",IFERROR(EDATE(IF(ISNUMBER(C31),C31,DATE(VALUE(RIGHT(C31,4)),VALUE(MID(C31,4,2)),VALUE(LEFT(C31,2)))),12),""))</f>
        <v/>
      </c>
      <c r="E31" s="43">
        <f>IF(OR(A31="",D31=""),"",D31-TODAY())</f>
        <v/>
      </c>
      <c r="F31" s="19">
        <f>IF(A31="","",IF(C31="","חסר תאריך",IF(D31="","תאריך לא תקין",IF(D31&lt;TODAY(),"פג תוקף",IF(D31&lt;=TODAY()+30,"נדרש תיאום","בתוקף")))))</f>
        <v/>
      </c>
      <c r="G31" s="42" t="n"/>
      <c r="H31" s="42" t="inlineStr">
        <is>
          <t>ממתין</t>
        </is>
      </c>
      <c r="I31" s="44" t="n"/>
      <c r="J31" s="44" t="n"/>
    </row>
    <row r="32" ht="25.95" customHeight="1">
      <c r="A32" s="21" t="n">
        <v>24</v>
      </c>
      <c r="B32" s="30" t="inlineStr">
        <is>
          <t>משרדים מינוס 2 צד דרום</t>
        </is>
      </c>
      <c r="C32" s="33" t="n">
        <v>46266</v>
      </c>
      <c r="D32" s="37">
        <f>IF(OR(A32="",C32=""),"",IFERROR(EDATE(IF(ISNUMBER(C32),C32,DATE(VALUE(RIGHT(C32,4)),VALUE(MID(C32,4,2)),VALUE(LEFT(C32,2)))),12),""))</f>
        <v/>
      </c>
      <c r="E32" s="43">
        <f>IF(OR(A32="",D32=""),"",D32-TODAY())</f>
        <v/>
      </c>
      <c r="F32" s="19">
        <f>IF(A32="","",IF(C32="","חסר תאריך",IF(D32="","תאריך לא תקין",IF(D32&lt;TODAY(),"פג תוקף",IF(D32&lt;=TODAY()+30,"נדרש תיאום","בתוקף")))))</f>
        <v/>
      </c>
      <c r="G32" s="42" t="n"/>
      <c r="H32" s="42" t="inlineStr">
        <is>
          <t>ממתין</t>
        </is>
      </c>
      <c r="I32" s="44" t="n"/>
      <c r="J32" s="44" t="n"/>
    </row>
    <row r="33" ht="25.95" customHeight="1">
      <c r="A33" s="21" t="n">
        <v>25</v>
      </c>
      <c r="B33" s="40" t="inlineStr">
        <is>
          <t>דיור מוגן מרכזי מינוס 1 מישני ראשי</t>
        </is>
      </c>
      <c r="C33" s="33" t="n">
        <v>46266</v>
      </c>
      <c r="D33" s="37">
        <f>IF(OR(A33="",C33=""),"",IFERROR(EDATE(IF(ISNUMBER(C33),C33,DATE(VALUE(RIGHT(C33,4)),VALUE(MID(C33,4,2)),VALUE(LEFT(C33,2)))),12),""))</f>
        <v/>
      </c>
      <c r="E33" s="43">
        <f>IF(OR(A33="",D33=""),"",D33-TODAY())</f>
        <v/>
      </c>
      <c r="F33" s="19">
        <f>IF(A33="","",IF(C33="","חסר תאריך",IF(D33="","תאריך לא תקין",IF(D33&lt;TODAY(),"פג תוקף",IF(D33&lt;=TODAY()+30,"נדרש תיאום","בתוקף")))))</f>
        <v/>
      </c>
      <c r="G33" s="42" t="n"/>
      <c r="H33" s="42" t="inlineStr">
        <is>
          <t>ממתין</t>
        </is>
      </c>
      <c r="I33" s="44" t="n"/>
      <c r="J33" s="44" t="n"/>
    </row>
    <row r="34" ht="25.95" customHeight="1">
      <c r="A34" s="21" t="n">
        <v>26</v>
      </c>
      <c r="B34" s="30" t="inlineStr">
        <is>
          <t>דיור מוגן מרכזי מינוס 1 חיצוני קרוב לרחבה</t>
        </is>
      </c>
      <c r="C34" s="33" t="n">
        <v>46266</v>
      </c>
      <c r="D34" s="37">
        <f>IF(OR(A34="",C34=""),"",IFERROR(EDATE(IF(ISNUMBER(C34),C34,DATE(VALUE(RIGHT(C34,4)),VALUE(MID(C34,4,2)),VALUE(LEFT(C34,2)))),12),""))</f>
        <v/>
      </c>
      <c r="E34" s="43">
        <f>IF(OR(A34="",D34=""),"",D34-TODAY())</f>
        <v/>
      </c>
      <c r="F34" s="19">
        <f>IF(A34="","",IF(C34="","חסר תאריך",IF(D34="","תאריך לא תקין",IF(D34&lt;TODAY(),"פג תוקף",IF(D34&lt;=TODAY()+30,"נדרש תיאום","בתוקף")))))</f>
        <v/>
      </c>
      <c r="G34" s="42" t="n"/>
      <c r="H34" s="42" t="inlineStr">
        <is>
          <t>ממתין</t>
        </is>
      </c>
      <c r="I34" s="44" t="n"/>
      <c r="J34" s="44" t="n"/>
    </row>
    <row r="35" ht="25.95" customHeight="1">
      <c r="A35" s="21" t="n">
        <v>27</v>
      </c>
      <c r="B35" s="30" t="inlineStr">
        <is>
          <t>דיור מוגן בניין צפוני קומה A  בצד מזרח צפון</t>
        </is>
      </c>
      <c r="C35" s="33" t="n">
        <v>46266</v>
      </c>
      <c r="D35" s="37">
        <f>IF(OR(A35="",C35=""),"",IFERROR(EDATE(IF(ISNUMBER(C35),C35,DATE(VALUE(RIGHT(C35,4)),VALUE(MID(C35,4,2)),VALUE(LEFT(C35,2)))),12),""))</f>
        <v/>
      </c>
      <c r="E35" s="43">
        <f>IF(OR(A35="",D35=""),"",D35-TODAY())</f>
        <v/>
      </c>
      <c r="F35" s="19">
        <f>IF(A35="","",IF(C35="","חסר תאריך",IF(D35="","תאריך לא תקין",IF(D35&lt;TODAY(),"פג תוקף",IF(D35&lt;=TODAY()+30,"נדרש תיאום","בתוקף")))))</f>
        <v/>
      </c>
      <c r="G35" s="42" t="n"/>
      <c r="H35" s="42" t="inlineStr">
        <is>
          <t>ממתין</t>
        </is>
      </c>
      <c r="I35" s="44" t="n"/>
      <c r="J35" s="44" t="n"/>
    </row>
    <row r="36" ht="25.95" customHeight="1">
      <c r="A36" s="21" t="n">
        <v>28</v>
      </c>
      <c r="B36" s="30" t="inlineStr">
        <is>
          <t>דיור מוגן בניין צפוני קומה A מזרח דרום קרוב לרחבה fc6</t>
        </is>
      </c>
      <c r="C36" s="34" t="n">
        <v>46266</v>
      </c>
      <c r="D36" s="37">
        <f>IF(OR(A36="",C36=""),"",IFERROR(EDATE(IF(ISNUMBER(C36),C36,DATE(VALUE(RIGHT(C36,4)),VALUE(MID(C36,4,2)),VALUE(LEFT(C36,2)))),12),""))</f>
        <v/>
      </c>
      <c r="E36" s="43">
        <f>IF(OR(A36="",D36=""),"",D36-TODAY())</f>
        <v/>
      </c>
      <c r="F36" s="19">
        <f>IF(A36="","",IF(C36="","חסר תאריך",IF(D36="","תאריך לא תקין",IF(D36&lt;TODAY(),"פג תוקף",IF(D36&lt;=TODAY()+30,"נדרש תיאום","בתוקף")))))</f>
        <v/>
      </c>
      <c r="G36" s="42" t="n"/>
      <c r="H36" s="42" t="inlineStr">
        <is>
          <t>ממתין</t>
        </is>
      </c>
      <c r="I36" s="44" t="n"/>
      <c r="J36" s="44" t="n"/>
    </row>
    <row r="37" ht="25.95" customHeight="1">
      <c r="A37" s="21" t="n"/>
      <c r="B37" s="30" t="n"/>
      <c r="C37" s="35" t="n"/>
      <c r="D37" s="37">
        <f>IF(OR(A37="",C37=""),"",IFERROR(EDATE(IF(ISNUMBER(C37),C37,DATE(VALUE(RIGHT(C37,4)),VALUE(MID(C37,4,2)),VALUE(LEFT(C37,2)))),12),""))</f>
        <v/>
      </c>
      <c r="E37" s="43">
        <f>IF(OR(A37="",D37=""),"",D37-TODAY())</f>
        <v/>
      </c>
      <c r="F37" s="19">
        <f>IF(A37="","",IF(C37="","חסר תאריך",IF(D37="","תאריך לא תקין",IF(D37&lt;TODAY(),"פג תוקף",IF(D37&lt;=TODAY()+30,"נדרש תיאום","בתוקף")))))</f>
        <v/>
      </c>
      <c r="G37" s="42" t="n"/>
      <c r="H37" s="42" t="n"/>
      <c r="I37" s="44" t="n"/>
      <c r="J37" s="44" t="n"/>
    </row>
    <row r="38" ht="25.95" customHeight="1">
      <c r="A38" s="21" t="n"/>
      <c r="B38" s="30" t="n"/>
      <c r="C38" s="35" t="n"/>
      <c r="D38" s="37">
        <f>IF(OR(A38="",C38=""),"",IFERROR(EDATE(IF(ISNUMBER(C38),C38,DATE(VALUE(RIGHT(C38,4)),VALUE(MID(C38,4,2)),VALUE(LEFT(C38,2)))),12),""))</f>
        <v/>
      </c>
      <c r="E38" s="43">
        <f>IF(OR(A38="",D38=""),"",D38-TODAY())</f>
        <v/>
      </c>
      <c r="F38" s="19">
        <f>IF(A38="","",IF(C38="","חסר תאריך",IF(D38="","תאריך לא תקין",IF(D38&lt;TODAY(),"פג תוקף",IF(D38&lt;=TODAY()+30,"נדרש תיאום","בתוקף")))))</f>
        <v/>
      </c>
      <c r="G38" s="42" t="n"/>
      <c r="H38" s="42" t="n"/>
      <c r="I38" s="44" t="n"/>
      <c r="J38" s="44" t="n"/>
    </row>
    <row r="39" ht="25.95" customHeight="1">
      <c r="A39" s="21" t="n"/>
      <c r="B39" s="30" t="n"/>
      <c r="C39" s="35" t="n"/>
      <c r="D39" s="37">
        <f>IF(OR(A39="",C39=""),"",IFERROR(EDATE(IF(ISNUMBER(C39),C39,DATE(VALUE(RIGHT(C39,4)),VALUE(MID(C39,4,2)),VALUE(LEFT(C39,2)))),12),""))</f>
        <v/>
      </c>
      <c r="E39" s="43">
        <f>IF(OR(A39="",D39=""),"",D39-TODAY())</f>
        <v/>
      </c>
      <c r="F39" s="19">
        <f>IF(A39="","",IF(C39="","חסר תאריך",IF(D39="","תאריך לא תקין",IF(D39&lt;TODAY(),"פג תוקף",IF(D39&lt;=TODAY()+30,"נדרש תיאום","בתוקף")))))</f>
        <v/>
      </c>
      <c r="G39" s="42" t="n"/>
      <c r="H39" s="42" t="n"/>
      <c r="I39" s="44" t="n"/>
      <c r="J39" s="44" t="n"/>
    </row>
    <row r="40" ht="25.95" customHeight="1">
      <c r="A40" s="21" t="n"/>
      <c r="B40" s="30" t="n"/>
      <c r="C40" s="35" t="n"/>
      <c r="D40" s="37">
        <f>IF(OR(A40="",C40=""),"",IFERROR(EDATE(IF(ISNUMBER(C40),C40,DATE(VALUE(RIGHT(C40,4)),VALUE(MID(C40,4,2)),VALUE(LEFT(C40,2)))),12),""))</f>
        <v/>
      </c>
      <c r="E40" s="43">
        <f>IF(OR(A40="",D40=""),"",D40-TODAY())</f>
        <v/>
      </c>
      <c r="F40" s="19">
        <f>IF(A40="","",IF(C40="","חסר תאריך",IF(D40="","תאריך לא תקין",IF(D40&lt;TODAY(),"פג תוקף",IF(D40&lt;=TODAY()+30,"נדרש תיאום","בתוקף")))))</f>
        <v/>
      </c>
      <c r="G40" s="42" t="n"/>
      <c r="H40" s="42" t="n"/>
      <c r="I40" s="44" t="n"/>
      <c r="J40" s="44" t="n"/>
    </row>
    <row r="41" ht="25.95" customHeight="1">
      <c r="A41" s="21" t="n"/>
      <c r="B41" s="30" t="n"/>
      <c r="C41" s="35" t="n"/>
      <c r="D41" s="37">
        <f>IF(OR(A41="",C41=""),"",IFERROR(EDATE(IF(ISNUMBER(C41),C41,DATE(VALUE(RIGHT(C41,4)),VALUE(MID(C41,4,2)),VALUE(LEFT(C41,2)))),12),""))</f>
        <v/>
      </c>
      <c r="E41" s="43">
        <f>IF(OR(A41="",D41=""),"",D41-TODAY())</f>
        <v/>
      </c>
      <c r="F41" s="19">
        <f>IF(A41="","",IF(C41="","חסר תאריך",IF(D41="","תאריך לא תקין",IF(D41&lt;TODAY(),"פג תוקף",IF(D41&lt;=TODAY()+30,"נדרש תיאום","בתוקף")))))</f>
        <v/>
      </c>
      <c r="G41" s="42" t="n"/>
      <c r="H41" s="42" t="n"/>
      <c r="I41" s="44" t="n"/>
      <c r="J41" s="44" t="n"/>
    </row>
    <row r="42" ht="25.95" customHeight="1">
      <c r="A42" s="21" t="n"/>
      <c r="B42" s="30" t="n"/>
      <c r="C42" s="35" t="n"/>
      <c r="D42" s="37">
        <f>IF(OR(A42="",C42=""),"",IFERROR(EDATE(IF(ISNUMBER(C42),C42,DATE(VALUE(RIGHT(C42,4)),VALUE(MID(C42,4,2)),VALUE(LEFT(C42,2)))),12),""))</f>
        <v/>
      </c>
      <c r="E42" s="43">
        <f>IF(OR(A42="",D42=""),"",D42-TODAY())</f>
        <v/>
      </c>
      <c r="F42" s="19">
        <f>IF(A42="","",IF(C42="","חסר תאריך",IF(D42="","תאריך לא תקין",IF(D42&lt;TODAY(),"פג תוקף",IF(D42&lt;=TODAY()+30,"נדרש תיאום","בתוקף")))))</f>
        <v/>
      </c>
      <c r="G42" s="42" t="n"/>
      <c r="H42" s="42" t="n"/>
      <c r="I42" s="44" t="n"/>
      <c r="J42" s="44" t="n"/>
    </row>
    <row r="43" ht="25.95" customHeight="1">
      <c r="A43" s="21" t="n"/>
      <c r="B43" s="30" t="n"/>
      <c r="C43" s="35" t="n"/>
      <c r="D43" s="37">
        <f>IF(OR(A43="",C43=""),"",IFERROR(EDATE(IF(ISNUMBER(C43),C43,DATE(VALUE(RIGHT(C43,4)),VALUE(MID(C43,4,2)),VALUE(LEFT(C43,2)))),12),""))</f>
        <v/>
      </c>
      <c r="E43" s="43">
        <f>IF(OR(A43="",D43=""),"",D43-TODAY())</f>
        <v/>
      </c>
      <c r="F43" s="19">
        <f>IF(A43="","",IF(C43="","חסר תאריך",IF(D43="","תאריך לא תקין",IF(D43&lt;TODAY(),"פג תוקף",IF(D43&lt;=TODAY()+30,"נדרש תיאום","בתוקף")))))</f>
        <v/>
      </c>
      <c r="G43" s="42" t="n"/>
      <c r="H43" s="42" t="n"/>
      <c r="I43" s="44" t="n"/>
      <c r="J43" s="44" t="n"/>
    </row>
    <row r="44" ht="25.95" customHeight="1">
      <c r="A44" s="21" t="n"/>
      <c r="B44" s="30" t="n"/>
      <c r="C44" s="35" t="n"/>
      <c r="D44" s="37">
        <f>IF(OR(A44="",C44=""),"",IFERROR(EDATE(IF(ISNUMBER(C44),C44,DATE(VALUE(RIGHT(C44,4)),VALUE(MID(C44,4,2)),VALUE(LEFT(C44,2)))),12),""))</f>
        <v/>
      </c>
      <c r="E44" s="43">
        <f>IF(OR(A44="",D44=""),"",D44-TODAY())</f>
        <v/>
      </c>
      <c r="F44" s="19">
        <f>IF(A44="","",IF(C44="","חסר תאריך",IF(D44="","תאריך לא תקין",IF(D44&lt;TODAY(),"פג תוקף",IF(D44&lt;=TODAY()+30,"נדרש תיאום","בתוקף")))))</f>
        <v/>
      </c>
      <c r="G44" s="42" t="n"/>
      <c r="H44" s="42" t="n"/>
      <c r="I44" s="44" t="n"/>
      <c r="J44" s="44" t="n"/>
    </row>
    <row r="45" ht="25.95" customHeight="1">
      <c r="A45" s="21" t="n"/>
      <c r="B45" s="30" t="n"/>
      <c r="C45" s="35" t="n"/>
      <c r="D45" s="37">
        <f>IF(OR(A45="",C45=""),"",IFERROR(EDATE(IF(ISNUMBER(C45),C45,DATE(VALUE(RIGHT(C45,4)),VALUE(MID(C45,4,2)),VALUE(LEFT(C45,2)))),12),""))</f>
        <v/>
      </c>
      <c r="E45" s="43">
        <f>IF(OR(A45="",D45=""),"",D45-TODAY())</f>
        <v/>
      </c>
      <c r="F45" s="19">
        <f>IF(A45="","",IF(C45="","חסר תאריך",IF(D45="","תאריך לא תקין",IF(D45&lt;TODAY(),"פג תוקף",IF(D45&lt;=TODAY()+30,"נדרש תיאום","בתוקף")))))</f>
        <v/>
      </c>
      <c r="G45" s="42" t="n"/>
      <c r="H45" s="42" t="n"/>
      <c r="I45" s="44" t="n"/>
      <c r="J45" s="44" t="n"/>
    </row>
    <row r="46" ht="25.95" customHeight="1">
      <c r="A46" s="21" t="n"/>
      <c r="B46" s="30" t="n"/>
      <c r="C46" s="35" t="n"/>
      <c r="D46" s="37">
        <f>IF(OR(A46="",C46=""),"",IFERROR(EDATE(IF(ISNUMBER(C46),C46,DATE(VALUE(RIGHT(C46,4)),VALUE(MID(C46,4,2)),VALUE(LEFT(C46,2)))),12),""))</f>
        <v/>
      </c>
      <c r="E46" s="43">
        <f>IF(OR(A46="",D46=""),"",D46-TODAY())</f>
        <v/>
      </c>
      <c r="F46" s="19">
        <f>IF(A46="","",IF(C46="","חסר תאריך",IF(D46="","תאריך לא תקין",IF(D46&lt;TODAY(),"פג תוקף",IF(D46&lt;=TODAY()+30,"נדרש תיאום","בתוקף")))))</f>
        <v/>
      </c>
      <c r="G46" s="42" t="n"/>
      <c r="H46" s="42" t="n"/>
      <c r="I46" s="44" t="n"/>
      <c r="J46" s="44" t="n"/>
    </row>
    <row r="47" ht="25.95" customHeight="1">
      <c r="A47" s="21" t="n"/>
      <c r="B47" s="30" t="n"/>
      <c r="C47" s="35" t="n"/>
      <c r="D47" s="37">
        <f>IF(OR(A47="",C47=""),"",IFERROR(EDATE(IF(ISNUMBER(C47),C47,DATE(VALUE(RIGHT(C47,4)),VALUE(MID(C47,4,2)),VALUE(LEFT(C47,2)))),12),""))</f>
        <v/>
      </c>
      <c r="E47" s="43">
        <f>IF(OR(A47="",D47=""),"",D47-TODAY())</f>
        <v/>
      </c>
      <c r="F47" s="19">
        <f>IF(A47="","",IF(C47="","חסר תאריך",IF(D47="","תאריך לא תקין",IF(D47&lt;TODAY(),"פג תוקף",IF(D47&lt;=TODAY()+30,"נדרש תיאום","בתוקף")))))</f>
        <v/>
      </c>
      <c r="G47" s="42" t="n"/>
      <c r="H47" s="42" t="n"/>
      <c r="I47" s="44" t="n"/>
      <c r="J47" s="44" t="n"/>
    </row>
    <row r="48" ht="25.95" customHeight="1">
      <c r="A48" s="21" t="n"/>
      <c r="B48" s="30" t="n"/>
      <c r="C48" s="35" t="n"/>
      <c r="D48" s="37">
        <f>IF(OR(A48="",C48=""),"",IFERROR(EDATE(IF(ISNUMBER(C48),C48,DATE(VALUE(RIGHT(C48,4)),VALUE(MID(C48,4,2)),VALUE(LEFT(C48,2)))),12),""))</f>
        <v/>
      </c>
      <c r="E48" s="43">
        <f>IF(OR(A48="",D48=""),"",D48-TODAY())</f>
        <v/>
      </c>
      <c r="F48" s="19">
        <f>IF(A48="","",IF(C48="","חסר תאריך",IF(D48="","תאריך לא תקין",IF(D48&lt;TODAY(),"פג תוקף",IF(D48&lt;=TODAY()+30,"נדרש תיאום","בתוקף")))))</f>
        <v/>
      </c>
      <c r="G48" s="42" t="n"/>
      <c r="H48" s="42" t="n"/>
      <c r="I48" s="44" t="n"/>
      <c r="J48" s="44" t="n"/>
    </row>
    <row r="49" ht="25.95" customHeight="1">
      <c r="A49" s="21" t="n"/>
      <c r="B49" s="30" t="n"/>
      <c r="C49" s="35" t="n"/>
      <c r="D49" s="37">
        <f>IF(OR(A49="",C49=""),"",IFERROR(EDATE(IF(ISNUMBER(C49),C49,DATE(VALUE(RIGHT(C49,4)),VALUE(MID(C49,4,2)),VALUE(LEFT(C49,2)))),12),""))</f>
        <v/>
      </c>
      <c r="E49" s="43">
        <f>IF(OR(A49="",D49=""),"",D49-TODAY())</f>
        <v/>
      </c>
      <c r="F49" s="19">
        <f>IF(A49="","",IF(C49="","חסר תאריך",IF(D49="","תאריך לא תקין",IF(D49&lt;TODAY(),"פג תוקף",IF(D49&lt;=TODAY()+30,"נדרש תיאום","בתוקף")))))</f>
        <v/>
      </c>
      <c r="G49" s="42" t="n"/>
      <c r="H49" s="42" t="n"/>
      <c r="I49" s="44" t="n"/>
      <c r="J49" s="44" t="n"/>
    </row>
    <row r="50" ht="25.95" customHeight="1">
      <c r="A50" s="21" t="n"/>
      <c r="B50" s="30" t="n"/>
      <c r="C50" s="35" t="n"/>
      <c r="D50" s="37">
        <f>IF(OR(A50="",C50=""),"",IFERROR(EDATE(IF(ISNUMBER(C50),C50,DATE(VALUE(RIGHT(C50,4)),VALUE(MID(C50,4,2)),VALUE(LEFT(C50,2)))),12),""))</f>
        <v/>
      </c>
      <c r="E50" s="43">
        <f>IF(OR(A50="",D50=""),"",D50-TODAY())</f>
        <v/>
      </c>
      <c r="F50" s="19">
        <f>IF(A50="","",IF(C50="","חסר תאריך",IF(D50="","תאריך לא תקין",IF(D50&lt;TODAY(),"פג תוקף",IF(D50&lt;=TODAY()+30,"נדרש תיאום","בתוקף")))))</f>
        <v/>
      </c>
      <c r="G50" s="42" t="n"/>
      <c r="H50" s="42" t="n"/>
      <c r="I50" s="44" t="n"/>
      <c r="J50" s="44" t="n"/>
    </row>
    <row r="51" ht="25.95" customHeight="1">
      <c r="A51" s="21" t="n"/>
      <c r="B51" s="30" t="n"/>
      <c r="C51" s="35" t="n"/>
      <c r="D51" s="37">
        <f>IF(OR(A51="",C51=""),"",IFERROR(EDATE(IF(ISNUMBER(C51),C51,DATE(VALUE(RIGHT(C51,4)),VALUE(MID(C51,4,2)),VALUE(LEFT(C51,2)))),12),""))</f>
        <v/>
      </c>
      <c r="E51" s="43">
        <f>IF(OR(A51="",D51=""),"",D51-TODAY())</f>
        <v/>
      </c>
      <c r="F51" s="19">
        <f>IF(A51="","",IF(C51="","חסר תאריך",IF(D51="","תאריך לא תקין",IF(D51&lt;TODAY(),"פג תוקף",IF(D51&lt;=TODAY()+30,"נדרש תיאום","בתוקף")))))</f>
        <v/>
      </c>
      <c r="G51" s="42" t="n"/>
      <c r="H51" s="42" t="n"/>
      <c r="I51" s="44" t="n"/>
      <c r="J51" s="44" t="n"/>
    </row>
    <row r="52" ht="25.95" customHeight="1">
      <c r="A52" s="21" t="n"/>
      <c r="B52" s="30" t="n"/>
      <c r="C52" s="35" t="n"/>
      <c r="D52" s="37">
        <f>IF(OR(A52="",C52=""),"",IFERROR(EDATE(IF(ISNUMBER(C52),C52,DATE(VALUE(RIGHT(C52,4)),VALUE(MID(C52,4,2)),VALUE(LEFT(C52,2)))),12),""))</f>
        <v/>
      </c>
      <c r="E52" s="43">
        <f>IF(OR(A52="",D52=""),"",D52-TODAY())</f>
        <v/>
      </c>
      <c r="F52" s="19">
        <f>IF(A52="","",IF(C52="","חסר תאריך",IF(D52="","תאריך לא תקין",IF(D52&lt;TODAY(),"פג תוקף",IF(D52&lt;=TODAY()+30,"נדרש תיאום","בתוקף")))))</f>
        <v/>
      </c>
      <c r="G52" s="42" t="n"/>
      <c r="H52" s="42" t="n"/>
      <c r="I52" s="44" t="n"/>
      <c r="J52" s="44" t="n"/>
    </row>
    <row r="53" ht="25.95" customHeight="1">
      <c r="A53" s="21" t="n"/>
      <c r="B53" s="30" t="n"/>
      <c r="C53" s="35" t="n"/>
      <c r="D53" s="37">
        <f>IF(OR(A53="",C53=""),"",IFERROR(EDATE(IF(ISNUMBER(C53),C53,DATE(VALUE(RIGHT(C53,4)),VALUE(MID(C53,4,2)),VALUE(LEFT(C53,2)))),12),""))</f>
        <v/>
      </c>
      <c r="E53" s="43">
        <f>IF(OR(A53="",D53=""),"",D53-TODAY())</f>
        <v/>
      </c>
      <c r="F53" s="19">
        <f>IF(A53="","",IF(C53="","חסר תאריך",IF(D53="","תאריך לא תקין",IF(D53&lt;TODAY(),"פג תוקף",IF(D53&lt;=TODAY()+30,"נדרש תיאום","בתוקף")))))</f>
        <v/>
      </c>
      <c r="G53" s="42" t="n"/>
      <c r="H53" s="42" t="n"/>
      <c r="I53" s="44" t="n"/>
      <c r="J53" s="44" t="n"/>
    </row>
    <row r="54" ht="25.95" customHeight="1">
      <c r="A54" s="21" t="n"/>
      <c r="B54" s="30" t="n"/>
      <c r="C54" s="35" t="n"/>
      <c r="D54" s="37">
        <f>IF(OR(A54="",C54=""),"",IFERROR(EDATE(IF(ISNUMBER(C54),C54,DATE(VALUE(RIGHT(C54,4)),VALUE(MID(C54,4,2)),VALUE(LEFT(C54,2)))),12),""))</f>
        <v/>
      </c>
      <c r="E54" s="43">
        <f>IF(OR(A54="",D54=""),"",D54-TODAY())</f>
        <v/>
      </c>
      <c r="F54" s="19">
        <f>IF(A54="","",IF(C54="","חסר תאריך",IF(D54="","תאריך לא תקין",IF(D54&lt;TODAY(),"פג תוקף",IF(D54&lt;=TODAY()+30,"נדרש תיאום","בתוקף")))))</f>
        <v/>
      </c>
      <c r="G54" s="42" t="n"/>
      <c r="H54" s="42" t="n"/>
      <c r="I54" s="44" t="n"/>
      <c r="J54" s="44" t="n"/>
    </row>
    <row r="55" ht="25.95" customHeight="1">
      <c r="A55" s="21" t="n"/>
      <c r="B55" s="30" t="n"/>
      <c r="C55" s="35" t="n"/>
      <c r="D55" s="37">
        <f>IF(OR(A55="",C55=""),"",IFERROR(EDATE(IF(ISNUMBER(C55),C55,DATE(VALUE(RIGHT(C55,4)),VALUE(MID(C55,4,2)),VALUE(LEFT(C55,2)))),12),""))</f>
        <v/>
      </c>
      <c r="E55" s="43">
        <f>IF(OR(A55="",D55=""),"",D55-TODAY())</f>
        <v/>
      </c>
      <c r="F55" s="19">
        <f>IF(A55="","",IF(C55="","חסר תאריך",IF(D55="","תאריך לא תקין",IF(D55&lt;TODAY(),"פג תוקף",IF(D55&lt;=TODAY()+30,"נדרש תיאום","בתוקף")))))</f>
        <v/>
      </c>
      <c r="G55" s="42" t="n"/>
      <c r="H55" s="42" t="n"/>
      <c r="I55" s="44" t="n"/>
      <c r="J55" s="44" t="n"/>
    </row>
    <row r="56" ht="25.95" customHeight="1">
      <c r="A56" s="21" t="n"/>
      <c r="B56" s="30" t="n"/>
      <c r="C56" s="35" t="n"/>
      <c r="D56" s="37">
        <f>IF(OR(A56="",C56=""),"",IFERROR(EDATE(IF(ISNUMBER(C56),C56,DATE(VALUE(RIGHT(C56,4)),VALUE(MID(C56,4,2)),VALUE(LEFT(C56,2)))),12),""))</f>
        <v/>
      </c>
      <c r="E56" s="43">
        <f>IF(OR(A56="",D56=""),"",D56-TODAY())</f>
        <v/>
      </c>
      <c r="F56" s="19">
        <f>IF(A56="","",IF(C56="","חסר תאריך",IF(D56="","תאריך לא תקין",IF(D56&lt;TODAY(),"פג תוקף",IF(D56&lt;=TODAY()+30,"נדרש תיאום","בתוקף")))))</f>
        <v/>
      </c>
      <c r="G56" s="42" t="n"/>
      <c r="H56" s="42" t="n"/>
      <c r="I56" s="44" t="n"/>
      <c r="J56" s="44" t="n"/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conditionalFormatting sqref="F8:F1020">
    <cfRule type="expression" priority="1" dxfId="0">
      <formula>F8="פג תוקף"</formula>
    </cfRule>
    <cfRule type="expression" priority="2" dxfId="3">
      <formula>F8="נדרש תיאום"</formula>
    </cfRule>
    <cfRule type="expression" priority="3" dxfId="2">
      <formula>F8="בתוקף"</formula>
    </cfRule>
    <cfRule type="expression" priority="4" dxfId="1">
      <formula>F8="חסר תאריך"</formula>
    </cfRule>
    <cfRule type="expression" priority="5" dxfId="0">
      <formula>F8="תאריך לא תקין"</formula>
    </cfRule>
  </conditionalFormatting>
  <dataValidations count="1">
    <dataValidation sqref="H8:H56" showDropDown="0" showInputMessage="1" showErrorMessage="1" allowBlank="1" type="list">
      <formula1>"ממתין,כן,לא"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zoomScale="85" zoomScaleNormal="85" workbookViewId="0">
      <selection activeCell="L3" sqref="L3"/>
    </sheetView>
  </sheetViews>
  <sheetFormatPr baseColWidth="8" defaultRowHeight="13.8"/>
  <cols>
    <col width="10.796875" customWidth="1" style="8" min="1" max="1"/>
    <col width="38.09765625" customWidth="1" style="3" min="2" max="2"/>
    <col width="8.796875" customWidth="1" style="11" min="3" max="3"/>
  </cols>
  <sheetData>
    <row r="1" ht="39.6" customFormat="1" customHeight="1" s="2">
      <c r="A1" s="12" t="inlineStr">
        <is>
          <t>רשימת לוחות עד 120 נס ציונה</t>
        </is>
      </c>
    </row>
    <row r="2" ht="31.2" customFormat="1" customHeight="1" s="2">
      <c r="A2" s="5" t="inlineStr">
        <is>
          <t>מספר לוח</t>
        </is>
      </c>
      <c r="B2" s="1" t="inlineStr">
        <is>
          <t>תיאור+מיקום</t>
        </is>
      </c>
      <c r="C2" s="9" t="inlineStr">
        <is>
          <t>אישור</t>
        </is>
      </c>
    </row>
    <row r="3" ht="31.2" customFormat="1" customHeight="1" s="2">
      <c r="A3" s="6" t="inlineStr">
        <is>
          <t>01</t>
        </is>
      </c>
      <c r="B3" s="4" t="inlineStr">
        <is>
          <t>עמדת עבודה על המשרד של שמעון</t>
        </is>
      </c>
      <c r="C3" s="10" t="n"/>
    </row>
    <row r="4" ht="31.2" customFormat="1" customHeight="1" s="2">
      <c r="A4" s="7" t="n">
        <v>1</v>
      </c>
      <c r="B4" s="3" t="inlineStr">
        <is>
          <t>לוח עגורן מספר 1 + עמדת עבודה לצידו</t>
        </is>
      </c>
      <c r="C4" s="10" t="n"/>
    </row>
    <row r="5" ht="31.2" customFormat="1" customHeight="1" s="2">
      <c r="A5" s="6" t="n">
        <v>2</v>
      </c>
      <c r="B5" s="4" t="inlineStr">
        <is>
          <t>לוח עגורן מספר 2 + עמדת עבודה לצידו</t>
        </is>
      </c>
      <c r="C5" s="10" t="n"/>
    </row>
    <row r="6" ht="31.2" customFormat="1" customHeight="1" s="2">
      <c r="A6" s="7" t="n">
        <v>3</v>
      </c>
      <c r="B6" s="3" t="inlineStr">
        <is>
          <t>לוח עגורן מספר 3 + עמדת עבודה לצידו</t>
        </is>
      </c>
    </row>
    <row r="7" ht="31.2" customFormat="1" customHeight="1" s="2">
      <c r="A7" s="6" t="n">
        <v>4</v>
      </c>
      <c r="B7" s="4" t="inlineStr">
        <is>
          <t>לוח עגורן מספר 4 + עמדת עבודה לצידו</t>
        </is>
      </c>
      <c r="C7" s="10" t="n"/>
    </row>
    <row r="8" ht="31.2" customFormat="1" customHeight="1" s="2">
      <c r="A8" s="7" t="n">
        <v>5</v>
      </c>
      <c r="B8" s="3" t="inlineStr">
        <is>
          <t>לוח עגורן מספר 5 + עמדת עבודה לצידו</t>
        </is>
      </c>
      <c r="C8" s="10" t="n"/>
    </row>
    <row r="9" ht="31.2" customFormat="1" customHeight="1" s="2">
      <c r="A9" s="6" t="n">
        <v>6</v>
      </c>
      <c r="B9" s="4" t="inlineStr">
        <is>
          <t>לוח שער/מחסום, מחסנים ומכולות משרד קבלנים</t>
        </is>
      </c>
      <c r="C9" s="10" t="n"/>
    </row>
    <row r="10" ht="31.2" customFormat="1" customHeight="1" s="2">
      <c r="A10" s="7" t="n">
        <v>7</v>
      </c>
      <c r="B10" s="3" t="inlineStr">
        <is>
          <t>ש</t>
        </is>
      </c>
      <c r="C10" s="10" t="n"/>
    </row>
    <row r="11" ht="32.4" customFormat="1" customHeight="1" s="2">
      <c r="A11" s="6" t="n">
        <v>8</v>
      </c>
      <c r="B11" s="4" t="inlineStr">
        <is>
          <t>דיור מוגן דרומי בצד מערב</t>
        </is>
      </c>
      <c r="C11" s="10" t="n"/>
    </row>
    <row r="12" ht="31.2" customFormat="1" customHeight="1" s="2">
      <c r="A12" s="7" t="n">
        <v>9</v>
      </c>
      <c r="B12" s="14" t="inlineStr">
        <is>
          <t>דיור מוגן דרומי מינוס 1 אמצע מישני ראשי</t>
        </is>
      </c>
      <c r="C12" s="10" t="n"/>
    </row>
    <row r="13" ht="30" customFormat="1" customHeight="1" s="2">
      <c r="A13" s="6" t="n">
        <v>10</v>
      </c>
      <c r="B13" s="13" t="inlineStr">
        <is>
          <t>דיור מוגן דרומי מינוס 1 קרוב לבריכה</t>
        </is>
      </c>
      <c r="C13" s="10" t="n"/>
    </row>
    <row r="14" ht="30.6" customFormat="1" customHeight="1" s="2">
      <c r="A14" s="7" t="n">
        <v>11</v>
      </c>
      <c r="B14" s="14" t="inlineStr">
        <is>
          <t>סיעודי מינוס 2 דרום</t>
        </is>
      </c>
      <c r="C14" s="10" t="n"/>
    </row>
    <row r="15" ht="27.6" customFormat="1" customHeight="1" s="2">
      <c r="A15" s="6" t="n">
        <v>12</v>
      </c>
      <c r="B15" s="13" t="inlineStr">
        <is>
          <t>סיעודי מינוס 2 צפון</t>
        </is>
      </c>
      <c r="C15" s="10" t="n"/>
    </row>
    <row r="16" ht="19.2" customFormat="1" customHeight="1" s="2">
      <c r="A16" s="7" t="n">
        <v>13</v>
      </c>
      <c r="B16" s="14" t="inlineStr">
        <is>
          <t>עמדת עבודה נוספת בין המחסנים למכולות משרד</t>
        </is>
      </c>
      <c r="C16" s="10" t="n"/>
    </row>
    <row r="17" ht="19.2" customFormat="1" customHeight="1" s="2">
      <c r="A17" s="6" t="inlineStr">
        <is>
          <t>14</t>
        </is>
      </c>
      <c r="B17" s="13" t="inlineStr">
        <is>
          <t>טיגארט כניסה מערבית</t>
        </is>
      </c>
      <c r="C17" s="10" t="n"/>
    </row>
    <row r="18" ht="19.2" customFormat="1" customHeight="1" s="2">
      <c r="A18" s="7" t="inlineStr">
        <is>
          <t>15</t>
        </is>
      </c>
      <c r="B18" s="14" t="inlineStr">
        <is>
          <t>דרומי מינוס 1 מערבי מוזן ממנוף 1</t>
        </is>
      </c>
      <c r="C18" s="10" t="n"/>
    </row>
    <row r="19" ht="19.2" customFormat="1" customHeight="1" s="2">
      <c r="A19" s="6" t="inlineStr">
        <is>
          <t>16</t>
        </is>
      </c>
      <c r="B19" s="13" t="inlineStr">
        <is>
          <t>טיגארט דרום</t>
        </is>
      </c>
      <c r="C19" s="10" t="n"/>
    </row>
    <row r="20" ht="19.2" customFormat="1" customHeight="1" s="2">
      <c r="A20" s="7" t="inlineStr">
        <is>
          <t>17</t>
        </is>
      </c>
      <c r="B20" s="14" t="inlineStr">
        <is>
          <t>טיגארט צפון</t>
        </is>
      </c>
      <c r="C20" s="10" t="n"/>
    </row>
    <row r="21" ht="19.2" customFormat="1" customHeight="1" s="2">
      <c r="A21" s="6" t="inlineStr">
        <is>
          <t>18</t>
        </is>
      </c>
      <c r="B21" s="13" t="inlineStr">
        <is>
          <t>דרומי קומה A בצד מזרח דרום</t>
        </is>
      </c>
      <c r="C21" s="10" t="n"/>
    </row>
    <row r="22" ht="19.2" customFormat="1" customHeight="1" s="2">
      <c r="A22" s="7" t="inlineStr">
        <is>
          <t>19</t>
        </is>
      </c>
      <c r="B22" s="14" t="inlineStr">
        <is>
          <t xml:space="preserve">מינוס 1 בניין c ממנוף 5 </t>
        </is>
      </c>
      <c r="C22" s="10" t="n"/>
    </row>
    <row r="23" ht="19.2" customFormat="1" customHeight="1" s="2">
      <c r="A23" s="6" t="inlineStr">
        <is>
          <t>20</t>
        </is>
      </c>
      <c r="B23" s="13" t="inlineStr">
        <is>
          <t>מינוס 1 ברחבה מונח על קיר בניין צפוני</t>
        </is>
      </c>
      <c r="C23" s="10" t="n"/>
    </row>
    <row r="24" ht="19.2" customFormat="1" customHeight="1" s="2">
      <c r="A24" s="7" t="inlineStr">
        <is>
          <t>21</t>
        </is>
      </c>
      <c r="B24" t="inlineStr">
        <is>
          <t xml:space="preserve">בניין צפוני מינוס 1 צד מזרח מישני ראשי </t>
        </is>
      </c>
      <c r="C24" s="10" t="n"/>
    </row>
    <row r="25" ht="19.2" customFormat="1" customHeight="1" s="2">
      <c r="A25" s="6" t="inlineStr">
        <is>
          <t>22</t>
        </is>
      </c>
      <c r="B25" t="inlineStr">
        <is>
          <t>משרדים מינוס 1 בצד מזרח קרוב יותר לקיר דיפון</t>
        </is>
      </c>
      <c r="C25" s="10" t="n"/>
    </row>
    <row r="26" ht="19.2" customFormat="1" customHeight="1" s="2">
      <c r="A26" s="7" t="inlineStr">
        <is>
          <t>23</t>
        </is>
      </c>
      <c r="B26" t="inlineStr">
        <is>
          <t>משרדים מינוס 2 צד צפון מישני ראשי</t>
        </is>
      </c>
      <c r="C26" s="10" t="n"/>
    </row>
    <row r="27">
      <c r="A27" s="6" t="inlineStr">
        <is>
          <t>24</t>
        </is>
      </c>
      <c r="B27" t="inlineStr">
        <is>
          <t>משרדים מינוס 2 צד דרום</t>
        </is>
      </c>
      <c r="C27" s="10" t="n"/>
      <c r="D27" s="2" t="n"/>
    </row>
    <row r="28">
      <c r="A28" s="8" t="inlineStr">
        <is>
          <t>25</t>
        </is>
      </c>
      <c r="B28" t="inlineStr">
        <is>
          <t>דיור מוגן מרכזי מינוס 1 מישני ראשי</t>
        </is>
      </c>
    </row>
    <row r="29">
      <c r="A29" s="6" t="inlineStr">
        <is>
          <t>26</t>
        </is>
      </c>
      <c r="B29" t="inlineStr">
        <is>
          <t>דיור מוגן מרכזי מינוס 1 חיצוני קרוב לרחבה</t>
        </is>
      </c>
    </row>
    <row r="30">
      <c r="A30" s="8" t="inlineStr">
        <is>
          <t>27</t>
        </is>
      </c>
      <c r="B30" t="inlineStr">
        <is>
          <t>בניין צפוני קומה A  בצד מזרח צפון</t>
        </is>
      </c>
    </row>
    <row r="31">
      <c r="A31" s="6" t="inlineStr">
        <is>
          <t>28</t>
        </is>
      </c>
      <c r="B31" t="inlineStr">
        <is>
          <t xml:space="preserve">בניין צפוני קומה A מזרח דרום קרוב לרחבה fc6  </t>
        </is>
      </c>
    </row>
    <row r="33">
      <c r="A33" s="6" t="n"/>
      <c r="B33" s="4" t="n"/>
    </row>
    <row r="35">
      <c r="A35" s="6" t="n"/>
      <c r="B35" s="4" t="n"/>
    </row>
  </sheetData>
  <mergeCells count="1">
    <mergeCell ref="A1:C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דוד אורן</dc:creator>
  <dcterms:created xmlns:dcterms="http://purl.org/dc/terms/" xmlns:xsi="http://www.w3.org/2001/XMLSchema-instance" xsi:type="dcterms:W3CDTF">2025-12-31T11:31:01Z</dcterms:created>
  <dcterms:modified xmlns:dcterms="http://purl.org/dc/terms/" xmlns:xsi="http://www.w3.org/2001/XMLSchema-instance" xsi:type="dcterms:W3CDTF">2026-09-06T06:51:33Z</dcterms:modified>
  <cp:lastModifiedBy>דוד אורן</cp:lastModifiedBy>
</cp:coreProperties>
</file>